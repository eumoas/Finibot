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Metas" sheetId="3" state="visible" r:id="rId3"/>
  </sheets>
  <definedNames>
    <definedName name="_xlnm._FilterDatabase" localSheetId="0" hidden="1">'Lançamentos'!$A$3:$F$19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#,##0.00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6221"/>
      <sz val="10"/>
    </font>
    <font>
      <name val="Arial"/>
      <color rgb="00AAAAAA"/>
      <sz val="10"/>
    </font>
    <font>
      <name val="Arial"/>
      <b val="1"/>
      <color rgb="009C0006"/>
      <sz val="10"/>
    </font>
    <font>
      <name val="Arial"/>
      <b val="1"/>
      <color rgb="00000000"/>
      <sz val="11"/>
    </font>
    <font>
      <name val="Arial"/>
      <b val="1"/>
      <sz val="11"/>
    </font>
    <font>
      <name val="Arial"/>
      <b val="1"/>
      <color rgb="00276221"/>
      <sz val="11"/>
    </font>
    <font>
      <name val="Arial"/>
      <color rgb="00276221"/>
      <sz val="10"/>
    </font>
    <font>
      <name val="Arial"/>
      <color rgb="00595959"/>
      <sz val="10"/>
    </font>
    <font>
      <name val="Arial"/>
      <b val="1"/>
      <color rgb="009C0006"/>
      <sz val="11"/>
    </font>
    <font>
      <name val="Arial"/>
      <color rgb="009C0006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2F75B6"/>
      </left>
      <right style="medium">
        <color rgb="002F75B6"/>
      </right>
      <top style="medium">
        <color rgb="002F75B6"/>
      </top>
      <bottom style="medium">
        <color rgb="002F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right" vertical="center"/>
    </xf>
    <xf numFmtId="164" fontId="9" fillId="8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0" fontId="10" fillId="5" borderId="2" applyAlignment="1" pivotButton="0" quotePrefix="0" xfId="0">
      <alignment horizontal="left" vertical="center"/>
    </xf>
    <xf numFmtId="164" fontId="10" fillId="5" borderId="2" applyAlignment="1" pivotButton="0" quotePrefix="0" xfId="0">
      <alignment horizontal="right" vertical="center"/>
    </xf>
    <xf numFmtId="165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/>
    </xf>
    <xf numFmtId="164" fontId="13" fillId="7" borderId="2" applyAlignment="1" pivotButton="0" quotePrefix="0" xfId="0">
      <alignment horizontal="right" vertical="center"/>
    </xf>
    <xf numFmtId="165" fontId="14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164" fontId="14" fillId="7" borderId="2" applyAlignment="1" pivotButton="0" quotePrefix="0" xfId="0">
      <alignment horizontal="right" vertical="center"/>
    </xf>
    <xf numFmtId="0" fontId="16" fillId="3" borderId="2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164" fontId="16" fillId="4" borderId="2" applyAlignment="1" pivotButton="0" quotePrefix="0" xfId="0">
      <alignment horizontal="right" vertical="center"/>
    </xf>
    <xf numFmtId="9" fontId="18" fillId="4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164" fontId="16" fillId="6" borderId="2" applyAlignment="1" pivotButton="0" quotePrefix="0" xfId="0">
      <alignment horizontal="right" vertical="center"/>
    </xf>
    <xf numFmtId="9" fontId="18" fillId="6" borderId="2" applyAlignment="1" pivotButton="0" quotePrefix="0" xfId="0">
      <alignment horizontal="center" vertical="center"/>
    </xf>
    <xf numFmtId="164" fontId="11" fillId="6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Categoria — Maio/2026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'Resumo'!$A$8:$A$14</f>
            </numRef>
          </cat>
          <val>
            <numRef>
              <f>'Resumo'!$B$8:$B$14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45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28" customWidth="1" min="4" max="4"/>
    <col width="15" customWidth="1" min="5" max="5"/>
    <col width="20" customWidth="1" min="6" max="6"/>
  </cols>
  <sheetData>
    <row r="1" ht="32" customHeight="1">
      <c r="A1" s="1" t="inlineStr">
        <is>
          <t>💰 Controle Financeiro — João — Maio/2026</t>
        </is>
      </c>
    </row>
    <row r="2" ht="20" customHeight="1">
      <c r="A2" s="2" t="inlineStr">
        <is>
          <t>Registre aqui cada entrada e saída de dinheiro. Lançamentos exportados pelo Fini aparecerão nesta aba.</t>
        </is>
      </c>
    </row>
    <row r="3" ht="22" customHeight="1">
      <c r="A3" s="3" t="inlineStr">
        <is>
          <t>Data</t>
        </is>
      </c>
      <c r="B3" s="3" t="inlineStr">
        <is>
          <t>Tipo</t>
        </is>
      </c>
      <c r="C3" s="3" t="inlineStr">
        <is>
          <t>Categoria</t>
        </is>
      </c>
      <c r="D3" s="3" t="inlineStr">
        <is>
          <t>Descrição</t>
        </is>
      </c>
      <c r="E3" s="3" t="inlineStr">
        <is>
          <t>Valor (R$)</t>
        </is>
      </c>
      <c r="F3" s="3" t="inlineStr">
        <is>
          <t>Meio de Pagamento</t>
        </is>
      </c>
    </row>
    <row r="4" ht="18" customHeight="1">
      <c r="A4" s="4" t="inlineStr">
        <is>
          <t>03/05/2026</t>
        </is>
      </c>
      <c r="B4" s="5" t="inlineStr">
        <is>
          <t>Receita</t>
        </is>
      </c>
      <c r="C4" s="6" t="inlineStr">
        <is>
          <t>Mesada</t>
        </is>
      </c>
      <c r="D4" s="6" t="inlineStr">
        <is>
          <t>Mesada do mês</t>
        </is>
      </c>
      <c r="E4" s="7" t="n">
        <v>300</v>
      </c>
      <c r="F4" s="8" t="inlineStr"/>
    </row>
    <row r="5" ht="18" customHeight="1">
      <c r="A5" s="9" t="inlineStr">
        <is>
          <t>05/05/2026</t>
        </is>
      </c>
      <c r="B5" s="10" t="inlineStr">
        <is>
          <t>Despesa</t>
        </is>
      </c>
      <c r="C5" s="11" t="inlineStr">
        <is>
          <t>Alimentação</t>
        </is>
      </c>
      <c r="D5" s="11" t="inlineStr">
        <is>
          <t>Lanche na escola</t>
        </is>
      </c>
      <c r="E5" s="12" t="n">
        <v>12.5</v>
      </c>
      <c r="F5" s="13" t="inlineStr"/>
    </row>
    <row r="6" ht="18" customHeight="1">
      <c r="A6" s="4" t="inlineStr">
        <is>
          <t>06/05/2026</t>
        </is>
      </c>
      <c r="B6" s="10" t="inlineStr">
        <is>
          <t>Despesa</t>
        </is>
      </c>
      <c r="C6" s="6" t="inlineStr">
        <is>
          <t>Transporte</t>
        </is>
      </c>
      <c r="D6" s="6" t="inlineStr">
        <is>
          <t>Ônibus ida e volta</t>
        </is>
      </c>
      <c r="E6" s="12" t="n">
        <v>9.6</v>
      </c>
      <c r="F6" s="8" t="inlineStr"/>
    </row>
    <row r="7" ht="18" customHeight="1">
      <c r="A7" s="9" t="inlineStr">
        <is>
          <t>07/05/2026</t>
        </is>
      </c>
      <c r="B7" s="10" t="inlineStr">
        <is>
          <t>Despesa</t>
        </is>
      </c>
      <c r="C7" s="11" t="inlineStr">
        <is>
          <t>Lazer</t>
        </is>
      </c>
      <c r="D7" s="11" t="inlineStr">
        <is>
          <t>Cinema com amigos</t>
        </is>
      </c>
      <c r="E7" s="12" t="n">
        <v>28</v>
      </c>
      <c r="F7" s="13" t="inlineStr"/>
    </row>
    <row r="8" ht="18" customHeight="1">
      <c r="A8" s="4" t="inlineStr">
        <is>
          <t>08/05/2026</t>
        </is>
      </c>
      <c r="B8" s="10" t="inlineStr">
        <is>
          <t>Despesa</t>
        </is>
      </c>
      <c r="C8" s="6" t="inlineStr">
        <is>
          <t>Assinaturas</t>
        </is>
      </c>
      <c r="D8" s="6" t="inlineStr">
        <is>
          <t>Spotify</t>
        </is>
      </c>
      <c r="E8" s="12" t="n">
        <v>21.9</v>
      </c>
      <c r="F8" s="8" t="inlineStr"/>
    </row>
    <row r="9" ht="18" customHeight="1">
      <c r="A9" s="9" t="inlineStr">
        <is>
          <t>09/05/2026</t>
        </is>
      </c>
      <c r="B9" s="10" t="inlineStr">
        <is>
          <t>Despesa</t>
        </is>
      </c>
      <c r="C9" s="11" t="inlineStr">
        <is>
          <t>Alimentação</t>
        </is>
      </c>
      <c r="D9" s="11" t="inlineStr">
        <is>
          <t>Delivery pizza</t>
        </is>
      </c>
      <c r="E9" s="12" t="n">
        <v>38</v>
      </c>
      <c r="F9" s="13" t="inlineStr"/>
    </row>
    <row r="10" ht="18" customHeight="1">
      <c r="A10" s="4" t="inlineStr">
        <is>
          <t>11/05/2026</t>
        </is>
      </c>
      <c r="B10" s="10" t="inlineStr">
        <is>
          <t>Despesa</t>
        </is>
      </c>
      <c r="C10" s="6" t="inlineStr">
        <is>
          <t>Transporte</t>
        </is>
      </c>
      <c r="D10" s="6" t="inlineStr">
        <is>
          <t>Ônibus semana</t>
        </is>
      </c>
      <c r="E10" s="12" t="n">
        <v>19.2</v>
      </c>
      <c r="F10" s="8" t="inlineStr"/>
    </row>
    <row r="11" ht="18" customHeight="1">
      <c r="A11" s="9" t="inlineStr">
        <is>
          <t>13/05/2026</t>
        </is>
      </c>
      <c r="B11" s="5" t="inlineStr">
        <is>
          <t>Receita</t>
        </is>
      </c>
      <c r="C11" s="11" t="inlineStr">
        <is>
          <t>Freelas</t>
        </is>
      </c>
      <c r="D11" s="11" t="inlineStr">
        <is>
          <t>Ajuda no brechó</t>
        </is>
      </c>
      <c r="E11" s="7" t="n">
        <v>80</v>
      </c>
      <c r="F11" s="13" t="inlineStr"/>
    </row>
    <row r="12" ht="18" customHeight="1">
      <c r="A12" s="4" t="inlineStr">
        <is>
          <t>14/05/2026</t>
        </is>
      </c>
      <c r="B12" s="10" t="inlineStr">
        <is>
          <t>Despesa</t>
        </is>
      </c>
      <c r="C12" s="6" t="inlineStr">
        <is>
          <t>Compras</t>
        </is>
      </c>
      <c r="D12" s="6" t="inlineStr">
        <is>
          <t>Camiseta</t>
        </is>
      </c>
      <c r="E12" s="12" t="n">
        <v>45</v>
      </c>
      <c r="F12" s="8" t="inlineStr"/>
    </row>
    <row r="13" ht="18" customHeight="1">
      <c r="A13" s="9" t="inlineStr">
        <is>
          <t>15/05/2026</t>
        </is>
      </c>
      <c r="B13" s="10" t="inlineStr">
        <is>
          <t>Despesa</t>
        </is>
      </c>
      <c r="C13" s="11" t="inlineStr">
        <is>
          <t>Alimentação</t>
        </is>
      </c>
      <c r="D13" s="11" t="inlineStr">
        <is>
          <t>Lanche + suco</t>
        </is>
      </c>
      <c r="E13" s="12" t="n">
        <v>16</v>
      </c>
      <c r="F13" s="13" t="inlineStr"/>
    </row>
    <row r="14" ht="18" customHeight="1">
      <c r="A14" s="4" t="inlineStr">
        <is>
          <t>16/05/2026</t>
        </is>
      </c>
      <c r="B14" s="10" t="inlineStr">
        <is>
          <t>Despesa</t>
        </is>
      </c>
      <c r="C14" s="6" t="inlineStr">
        <is>
          <t>Educação</t>
        </is>
      </c>
      <c r="D14" s="6" t="inlineStr">
        <is>
          <t>Apostila cursinho</t>
        </is>
      </c>
      <c r="E14" s="12" t="n">
        <v>35</v>
      </c>
      <c r="F14" s="8" t="inlineStr"/>
    </row>
    <row r="15" ht="18" customHeight="1">
      <c r="A15" s="9" t="inlineStr">
        <is>
          <t>18/05/2026</t>
        </is>
      </c>
      <c r="B15" s="10" t="inlineStr">
        <is>
          <t>Despesa</t>
        </is>
      </c>
      <c r="C15" s="11" t="inlineStr">
        <is>
          <t>Assinaturas</t>
        </is>
      </c>
      <c r="D15" s="11" t="inlineStr">
        <is>
          <t>Netflix</t>
        </is>
      </c>
      <c r="E15" s="12" t="n">
        <v>26.9</v>
      </c>
      <c r="F15" s="13" t="inlineStr"/>
    </row>
    <row r="16" ht="18" customHeight="1">
      <c r="A16" s="4" t="inlineStr">
        <is>
          <t>19/05/2026</t>
        </is>
      </c>
      <c r="B16" s="10" t="inlineStr">
        <is>
          <t>Despesa</t>
        </is>
      </c>
      <c r="C16" s="6" t="inlineStr">
        <is>
          <t>Transporte</t>
        </is>
      </c>
      <c r="D16" s="6" t="inlineStr">
        <is>
          <t>Uber</t>
        </is>
      </c>
      <c r="E16" s="12" t="n">
        <v>14.5</v>
      </c>
      <c r="F16" s="8" t="inlineStr"/>
    </row>
    <row r="17" ht="18" customHeight="1">
      <c r="A17" s="9" t="inlineStr">
        <is>
          <t>20/05/2026</t>
        </is>
      </c>
      <c r="B17" s="10" t="inlineStr">
        <is>
          <t>Despesa</t>
        </is>
      </c>
      <c r="C17" s="11" t="inlineStr">
        <is>
          <t>Lazer</t>
        </is>
      </c>
      <c r="D17" s="11" t="inlineStr">
        <is>
          <t>Jogo mobile</t>
        </is>
      </c>
      <c r="E17" s="12" t="n">
        <v>15</v>
      </c>
      <c r="F17" s="13" t="inlineStr"/>
    </row>
    <row r="18" ht="18" customHeight="1">
      <c r="A18" s="4" t="inlineStr">
        <is>
          <t>21/05/2026</t>
        </is>
      </c>
      <c r="B18" s="10" t="inlineStr">
        <is>
          <t>Despesa</t>
        </is>
      </c>
      <c r="C18" s="6" t="inlineStr">
        <is>
          <t>Alimentação</t>
        </is>
      </c>
      <c r="D18" s="6" t="inlineStr">
        <is>
          <t>Mercadinho</t>
        </is>
      </c>
      <c r="E18" s="12" t="n">
        <v>22</v>
      </c>
      <c r="F18" s="8" t="inlineStr"/>
    </row>
    <row r="19" ht="18" customHeight="1">
      <c r="A19" s="9" t="inlineStr">
        <is>
          <t>22/05/2026</t>
        </is>
      </c>
      <c r="B19" s="10" t="inlineStr">
        <is>
          <t>Despesa</t>
        </is>
      </c>
      <c r="C19" s="11" t="inlineStr">
        <is>
          <t>Saúde</t>
        </is>
      </c>
      <c r="D19" s="11" t="inlineStr">
        <is>
          <t>Remédio</t>
        </is>
      </c>
      <c r="E19" s="12" t="n">
        <v>18.5</v>
      </c>
      <c r="F19" s="13" t="inlineStr"/>
    </row>
    <row r="20" ht="22" customHeight="1">
      <c r="A20" s="14" t="inlineStr">
        <is>
          <t>TOTAL DO MÊS</t>
        </is>
      </c>
      <c r="E20" s="15">
        <f>SUMIF(B4:B19,"Receita",E4:E19)-SUMIF(B4:B19,"Despesa",E4:E19)</f>
        <v/>
      </c>
    </row>
    <row r="22">
      <c r="A22" s="16" t="inlineStr">
        <is>
          <t>💡 Dica: use /planilha no Fini (Telegram) para exportar seus lançamentos diretamente aqui. Ou preencha manualmente.</t>
        </is>
      </c>
    </row>
  </sheetData>
  <autoFilter ref="A3:F19"/>
  <mergeCells count="4">
    <mergeCell ref="A2:F2"/>
    <mergeCell ref="A22:F22"/>
    <mergeCell ref="A1:F1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2" customWidth="1" min="4" max="4"/>
    <col width="28" customWidth="1" min="5" max="5"/>
    <col width="5" customWidth="1" min="6" max="6"/>
  </cols>
  <sheetData>
    <row r="1" ht="32" customHeight="1">
      <c r="A1" s="1" t="inlineStr">
        <is>
          <t>📊 Resumo Financeiro — Maio/2026</t>
        </is>
      </c>
    </row>
    <row r="2" ht="22" customHeight="1">
      <c r="A2" s="3" t="inlineStr">
        <is>
          <t>Indicador</t>
        </is>
      </c>
      <c r="B2" s="3" t="inlineStr">
        <is>
          <t>Valor (R$)</t>
        </is>
      </c>
      <c r="C2" s="3" t="inlineStr">
        <is>
          <t>% da Renda</t>
        </is>
      </c>
      <c r="D2" s="3" t="inlineStr">
        <is>
          <t>Referência 50-30-20</t>
        </is>
      </c>
    </row>
    <row r="3" ht="20" customHeight="1">
      <c r="A3" s="17" t="inlineStr">
        <is>
          <t>💚 Total de Receitas</t>
        </is>
      </c>
      <c r="B3" s="18" t="n">
        <v>380</v>
      </c>
      <c r="C3" s="19" t="n">
        <v>1.266666666666667</v>
      </c>
      <c r="D3" s="20" t="inlineStr">
        <is>
          <t>—</t>
        </is>
      </c>
    </row>
    <row r="4" ht="20" customHeight="1">
      <c r="A4" s="21" t="inlineStr">
        <is>
          <t>❤️ Total de Despesas</t>
        </is>
      </c>
      <c r="B4" s="22" t="n">
        <v>322.1</v>
      </c>
      <c r="C4" s="23" t="n">
        <v>1.073666666666667</v>
      </c>
      <c r="D4" s="24" t="inlineStr">
        <is>
          <t>máx. 80%</t>
        </is>
      </c>
    </row>
    <row r="5" ht="20" customHeight="1">
      <c r="A5" s="17" t="inlineStr">
        <is>
          <t>💰 Saldo do Mês</t>
        </is>
      </c>
      <c r="B5" s="18" t="n">
        <v>57.9</v>
      </c>
      <c r="C5" s="19" t="n">
        <v>0.193</v>
      </c>
      <c r="D5" s="20" t="inlineStr">
        <is>
          <t>min. 20%</t>
        </is>
      </c>
    </row>
    <row r="7" ht="22" customHeight="1">
      <c r="A7" s="25" t="inlineStr">
        <is>
          <t>DESPESAS POR CATEGORIA</t>
        </is>
      </c>
    </row>
    <row r="8" ht="18" customHeight="1">
      <c r="A8" s="26" t="inlineStr">
        <is>
          <t>Alimentação</t>
        </is>
      </c>
      <c r="B8" s="12" t="n">
        <v>88.5</v>
      </c>
      <c r="C8" s="23" t="n">
        <v>0.295</v>
      </c>
      <c r="D8" s="27" t="inlineStr">
        <is>
          <t>Necessidade (50%)</t>
        </is>
      </c>
    </row>
    <row r="9" ht="18" customHeight="1">
      <c r="A9" s="28" t="inlineStr">
        <is>
          <t>Assinaturas</t>
        </is>
      </c>
      <c r="B9" s="29" t="n">
        <v>48.8</v>
      </c>
      <c r="C9" s="23" t="n">
        <v>0.1626666666666667</v>
      </c>
      <c r="D9" s="27" t="inlineStr">
        <is>
          <t>Desejo (30%)</t>
        </is>
      </c>
    </row>
    <row r="10" ht="18" customHeight="1">
      <c r="A10" s="28" t="inlineStr">
        <is>
          <t>Compras</t>
        </is>
      </c>
      <c r="B10" s="29" t="n">
        <v>45</v>
      </c>
      <c r="C10" s="23" t="n">
        <v>0.15</v>
      </c>
      <c r="D10" s="27" t="inlineStr">
        <is>
          <t>Desejo (30%)</t>
        </is>
      </c>
    </row>
    <row r="11" ht="18" customHeight="1">
      <c r="A11" s="28" t="inlineStr">
        <is>
          <t>Transporte</t>
        </is>
      </c>
      <c r="B11" s="29" t="n">
        <v>43.3</v>
      </c>
      <c r="C11" s="23" t="n">
        <v>0.1443333333333333</v>
      </c>
      <c r="D11" s="27" t="inlineStr">
        <is>
          <t>Necessidade (50%)</t>
        </is>
      </c>
    </row>
    <row r="12" ht="18" customHeight="1">
      <c r="A12" s="28" t="inlineStr">
        <is>
          <t>Lazer</t>
        </is>
      </c>
      <c r="B12" s="29" t="n">
        <v>43</v>
      </c>
      <c r="C12" s="23" t="n">
        <v>0.1433333333333333</v>
      </c>
      <c r="D12" s="27" t="inlineStr">
        <is>
          <t>Desejo (30%)</t>
        </is>
      </c>
    </row>
    <row r="13" ht="18" customHeight="1">
      <c r="A13" s="28" t="inlineStr">
        <is>
          <t>Educação</t>
        </is>
      </c>
      <c r="B13" s="29" t="n">
        <v>35</v>
      </c>
      <c r="C13" s="23" t="n">
        <v>0.1166666666666667</v>
      </c>
      <c r="D13" s="27" t="inlineStr">
        <is>
          <t>Necessidade (50%)</t>
        </is>
      </c>
    </row>
    <row r="14" ht="18" customHeight="1">
      <c r="A14" s="28" t="inlineStr">
        <is>
          <t>Saúde</t>
        </is>
      </c>
      <c r="B14" s="29" t="n">
        <v>18.5</v>
      </c>
      <c r="C14" s="23" t="n">
        <v>0.06166666666666667</v>
      </c>
      <c r="D14" s="27" t="inlineStr">
        <is>
          <t>Necessidade (50%)</t>
        </is>
      </c>
    </row>
    <row r="17">
      <c r="E17" s="30" t="inlineStr">
        <is>
          <t>📐 Método 50-30-20
50% → Necessidades
(alimentação, transporte, educação, saúde)
30% → Desejos
(lazer, assinaturas, roupas, presentes)
20% → Poupança e metas
(guardar para o futuro)</t>
        </is>
      </c>
    </row>
    <row r="18"/>
    <row r="19"/>
    <row r="20"/>
    <row r="21"/>
    <row r="22"/>
    <row r="23"/>
    <row r="24"/>
    <row r="25"/>
  </sheetData>
  <mergeCells count="3">
    <mergeCell ref="E17:F25"/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7" customWidth="1" min="3" max="3"/>
    <col width="17" customWidth="1" min="4" max="4"/>
    <col width="15" customWidth="1" min="5" max="5"/>
    <col width="13" customWidth="1" min="6" max="6"/>
    <col width="18" customWidth="1" min="7" max="7"/>
  </cols>
  <sheetData>
    <row r="1" ht="32" customHeight="1">
      <c r="A1" s="31" t="inlineStr">
        <is>
          <t>🎯 Minhas Metas Financeiras</t>
        </is>
      </c>
    </row>
    <row r="2" ht="20" customHeight="1">
      <c r="A2" s="32" t="inlineStr">
        <is>
          <t>Defina suas metas e acompanhe o progresso. Atualize a coluna 'Guardado (R$)' conforme for economizando.</t>
        </is>
      </c>
    </row>
    <row r="3" ht="22" customHeight="1">
      <c r="A3" s="33" t="inlineStr">
        <is>
          <t>Meta</t>
        </is>
      </c>
      <c r="B3" s="33" t="inlineStr">
        <is>
          <t>Objetivo</t>
        </is>
      </c>
      <c r="C3" s="33" t="inlineStr">
        <is>
          <t>Valor Alvo (R$)</t>
        </is>
      </c>
      <c r="D3" s="33" t="inlineStr">
        <is>
          <t>Guardado (R$)</t>
        </is>
      </c>
      <c r="E3" s="33" t="inlineStr">
        <is>
          <t>Progresso (%)</t>
        </is>
      </c>
      <c r="F3" s="33" t="inlineStr">
        <is>
          <t>Prazo</t>
        </is>
      </c>
      <c r="G3" s="33" t="inlineStr">
        <is>
          <t>Status</t>
        </is>
      </c>
    </row>
    <row r="4" ht="20" customHeight="1">
      <c r="A4" s="34" t="inlineStr">
        <is>
          <t>📱 Celular novo</t>
        </is>
      </c>
      <c r="B4" s="6" t="inlineStr">
        <is>
          <t>Trocar o celular</t>
        </is>
      </c>
      <c r="C4" s="35" t="n">
        <v>1200</v>
      </c>
      <c r="D4" s="7" t="n">
        <v>480</v>
      </c>
      <c r="E4" s="36">
        <f>D4/C4</f>
        <v/>
      </c>
      <c r="F4" s="4" t="inlineStr">
        <is>
          <t>01/09/2026</t>
        </is>
      </c>
      <c r="G4" s="4" t="inlineStr">
        <is>
          <t>📈 Em andamento</t>
        </is>
      </c>
    </row>
    <row r="5" ht="20" customHeight="1">
      <c r="A5" s="37" t="inlineStr">
        <is>
          <t>🎓 Curso de inglês</t>
        </is>
      </c>
      <c r="B5" s="11" t="inlineStr">
        <is>
          <t>Pagar o semestre</t>
        </is>
      </c>
      <c r="C5" s="38" t="n">
        <v>600</v>
      </c>
      <c r="D5" s="7" t="n">
        <v>150</v>
      </c>
      <c r="E5" s="39">
        <f>D5/C5</f>
        <v/>
      </c>
      <c r="F5" s="9" t="inlineStr">
        <is>
          <t>01/09/2026</t>
        </is>
      </c>
      <c r="G5" s="9" t="inlineStr">
        <is>
          <t>📈 Em andamento</t>
        </is>
      </c>
    </row>
    <row r="6" ht="20" customHeight="1">
      <c r="A6" s="34" t="inlineStr">
        <is>
          <t>🎧 Fone bluetooth</t>
        </is>
      </c>
      <c r="B6" s="6" t="inlineStr">
        <is>
          <t>Comprar fone sem fio</t>
        </is>
      </c>
      <c r="C6" s="35" t="n">
        <v>350</v>
      </c>
      <c r="D6" s="7" t="n">
        <v>80</v>
      </c>
      <c r="E6" s="36">
        <f>D6/C6</f>
        <v/>
      </c>
      <c r="F6" s="4" t="inlineStr">
        <is>
          <t>01/09/2026</t>
        </is>
      </c>
      <c r="G6" s="4" t="inlineStr">
        <is>
          <t>📈 Em andamento</t>
        </is>
      </c>
    </row>
    <row r="7" ht="20" customHeight="1">
      <c r="A7" s="37" t="inlineStr">
        <is>
          <t>🚀 Reserva</t>
        </is>
      </c>
      <c r="B7" s="11" t="inlineStr">
        <is>
          <t>Guardar 1 mês de renda</t>
        </is>
      </c>
      <c r="C7" s="38" t="n">
        <v>300</v>
      </c>
      <c r="D7" s="40" t="n">
        <v>0</v>
      </c>
      <c r="E7" s="39">
        <f>D7/C7</f>
        <v/>
      </c>
      <c r="F7" s="9" t="inlineStr">
        <is>
          <t>01/09/2026</t>
        </is>
      </c>
      <c r="G7" s="9" t="inlineStr">
        <is>
          <t>🟡 Não iniciada</t>
        </is>
      </c>
    </row>
    <row r="8" ht="20" customHeight="1">
      <c r="A8" s="34" t="inlineStr"/>
      <c r="B8" s="6" t="inlineStr"/>
      <c r="C8" s="35" t="n"/>
      <c r="D8" s="41" t="n"/>
      <c r="E8" s="6" t="inlineStr"/>
      <c r="F8" s="6" t="inlineStr"/>
      <c r="G8" s="6" t="inlineStr"/>
    </row>
    <row r="11">
      <c r="A11" s="16" t="inlineStr">
        <is>
          <t>💡 Crie metas pelo Fini com /meta. O progresso é atualizado automaticamente quando você exportar a planilha.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2026-05-23T16:47:09Z</dcterms:created>
  <dcterms:modified xmlns:dcterms="http://purl.org/dc/terms/" xmlns:xsi="http://www.w3.org/2001/XMLSchema-instance" xsi:type="dcterms:W3CDTF">2026-05-23T16:47:09Z</dcterms:modified>
</cp:coreProperties>
</file>