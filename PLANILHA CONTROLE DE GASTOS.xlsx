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ssoa Física" sheetId="1" r:id="rId5"/>
  </sheets>
  <definedNames/>
  <calcPr/>
</workbook>
</file>

<file path=xl/sharedStrings.xml><?xml version="1.0" encoding="utf-8"?>
<sst xmlns="http://schemas.openxmlformats.org/spreadsheetml/2006/main" count="117" uniqueCount="53">
  <si>
    <t>MESES</t>
  </si>
  <si>
    <t>Meio de Pagamento</t>
  </si>
  <si>
    <t>TOTAL</t>
  </si>
  <si>
    <t>DESPESAS</t>
  </si>
  <si>
    <t>ALIMENTAÇÃO</t>
  </si>
  <si>
    <t>Supermercado</t>
  </si>
  <si>
    <t>Cartão de Crédito</t>
  </si>
  <si>
    <t>Feira / Sacolão</t>
  </si>
  <si>
    <t>Cartão de Débito</t>
  </si>
  <si>
    <t>Padaria</t>
  </si>
  <si>
    <t>Dinheiro</t>
  </si>
  <si>
    <t>MORADIA</t>
  </si>
  <si>
    <t>Prestação / Aluguel de imóvel</t>
  </si>
  <si>
    <t xml:space="preserve">Condomínio </t>
  </si>
  <si>
    <t>Consumo de água</t>
  </si>
  <si>
    <t>EDUCAÇÃO</t>
  </si>
  <si>
    <t>Matricula Escolar / Mensalidade</t>
  </si>
  <si>
    <t>Material Escolar</t>
  </si>
  <si>
    <t>Transporte Escolar</t>
  </si>
  <si>
    <t>ANIMAL DE ESTIMAÇÃO</t>
  </si>
  <si>
    <t>Ração</t>
  </si>
  <si>
    <t>Banho / Tosa</t>
  </si>
  <si>
    <t>Veterinário</t>
  </si>
  <si>
    <t>SAÚDE</t>
  </si>
  <si>
    <t>Plano de Saúde</t>
  </si>
  <si>
    <t>Medicamentos</t>
  </si>
  <si>
    <t>Dentista</t>
  </si>
  <si>
    <t>TRANSPORTE</t>
  </si>
  <si>
    <t>Ônibus / Metrô</t>
  </si>
  <si>
    <t>Taxi</t>
  </si>
  <si>
    <t>Combustível</t>
  </si>
  <si>
    <t>PESSOAL</t>
  </si>
  <si>
    <t>Vestuário / Calçados / Acessórios</t>
  </si>
  <si>
    <t>Cabeleireiro / Manicure / Higiene Pessoal</t>
  </si>
  <si>
    <t>Presentes</t>
  </si>
  <si>
    <t>LAZER</t>
  </si>
  <si>
    <t>Cinema / Teatro / Shows</t>
  </si>
  <si>
    <t>Livros / Revistas</t>
  </si>
  <si>
    <t>Viagens</t>
  </si>
  <si>
    <t>SERVIÇOS FINANCEIROS</t>
  </si>
  <si>
    <t>Seguros</t>
  </si>
  <si>
    <t>Investimentos 1</t>
  </si>
  <si>
    <t>Transferência</t>
  </si>
  <si>
    <t>Imposto de Renda</t>
  </si>
  <si>
    <t>DÍVIDAS</t>
  </si>
  <si>
    <t>Dívida 1</t>
  </si>
  <si>
    <t>Dívida 2</t>
  </si>
  <si>
    <t>Dívida 3</t>
  </si>
  <si>
    <t>Total das Despesas</t>
  </si>
  <si>
    <t>Renda Mensal</t>
  </si>
  <si>
    <t>Resultado Operacional (renda - despesas)</t>
  </si>
  <si>
    <t>Investimentos Mensais</t>
  </si>
  <si>
    <r>
      <rPr>
        <rFont val="Manrope"/>
        <b/>
        <color rgb="FF000000"/>
        <sz val="12.0"/>
      </rPr>
      <t xml:space="preserve">Alterar somente os campos </t>
    </r>
    <r>
      <rPr>
        <rFont val="Manrope"/>
        <b/>
        <color rgb="FF838AFF"/>
        <sz val="12.0"/>
      </rPr>
      <t>em azul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</si>
</sst>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_-;\-* #,##0.00_-;_-* &quot;-&quot;??_-;_-@"/>
    <numFmt numFmtId="165" formatCode="[$R$]#,##0.00"/>
  </numFmts>
  <fonts count="21">
    <font>
      <sz val="11.0"/>
      <color rgb="FF000000"/>
      <name val="Calibri"/>
      <scheme val="minor"/>
    </font>
    <font>
      <b/>
      <sz val="12.0"/>
      <color theme="1"/>
      <name val="Manrope"/>
    </font>
    <font>
      <b/>
      <sz val="12.0"/>
      <color rgb="FFFFFFFF"/>
      <name val="Manrope"/>
    </font>
    <font>
      <b/>
      <sz val="14.0"/>
      <color theme="1"/>
      <name val="Manrope"/>
    </font>
    <font>
      <b/>
      <sz val="14.0"/>
      <color rgb="FFFFFFFF"/>
      <name val="Manrope"/>
    </font>
    <font>
      <b/>
      <sz val="14.0"/>
      <color theme="0"/>
      <name val="Manrope"/>
    </font>
    <font/>
    <font>
      <b/>
      <sz val="11.0"/>
      <color rgb="FF000000"/>
      <name val="Manrope"/>
    </font>
    <font>
      <b/>
      <sz val="12.0"/>
      <color rgb="FF000000"/>
      <name val="Manrope"/>
    </font>
    <font>
      <b/>
      <sz val="12.0"/>
      <color rgb="FF7D8AFF"/>
      <name val="Manrope"/>
    </font>
    <font>
      <sz val="11.0"/>
      <color rgb="FF000000"/>
      <name val="Manrope"/>
    </font>
    <font>
      <sz val="11.0"/>
      <color rgb="FF000000"/>
      <name val="Calibri"/>
    </font>
    <font>
      <b/>
      <sz val="12.0"/>
      <color rgb="FF7D8AFF"/>
      <name val="Calibri"/>
    </font>
    <font>
      <b/>
      <sz val="12.0"/>
      <color rgb="FFFFFFFF"/>
      <name val="Libre Franklin"/>
    </font>
    <font>
      <b/>
      <sz val="11.0"/>
      <color rgb="FF44546A"/>
      <name val="Calibri"/>
    </font>
    <font>
      <b/>
      <sz val="12.0"/>
      <color rgb="FF44546A"/>
      <name val="Manrope"/>
    </font>
    <font>
      <b/>
      <sz val="12.0"/>
      <color theme="1"/>
      <name val="Libre Franklin"/>
    </font>
    <font>
      <b/>
      <sz val="13.0"/>
      <color rgb="FFFFFFFF"/>
      <name val="Libre Franklin"/>
    </font>
    <font>
      <sz val="11.0"/>
      <color rgb="FF000000"/>
      <name val="Libre Franklin"/>
    </font>
    <font>
      <b/>
      <color theme="1"/>
      <name val="Manrope"/>
    </font>
    <font>
      <color theme="1"/>
      <name val="Manrope"/>
    </font>
  </fonts>
  <fills count="12">
    <fill>
      <patternFill patternType="none"/>
    </fill>
    <fill>
      <patternFill patternType="lightGray"/>
    </fill>
    <fill>
      <patternFill patternType="solid">
        <fgColor rgb="FFFFEC64"/>
        <bgColor rgb="FFFFEC64"/>
      </patternFill>
    </fill>
    <fill>
      <patternFill patternType="solid">
        <fgColor rgb="FF7D8AFF"/>
        <bgColor rgb="FF7D8AFF"/>
      </patternFill>
    </fill>
    <fill>
      <patternFill patternType="solid">
        <fgColor rgb="FFA9B1FF"/>
        <bgColor rgb="FFA9B1FF"/>
      </patternFill>
    </fill>
    <fill>
      <patternFill patternType="solid">
        <fgColor rgb="FFE6483F"/>
        <bgColor rgb="FFE6483F"/>
      </patternFill>
    </fill>
    <fill>
      <patternFill patternType="solid">
        <fgColor rgb="FFFFF7C5"/>
        <bgColor rgb="FFFFF7C5"/>
      </patternFill>
    </fill>
    <fill>
      <patternFill patternType="solid">
        <fgColor rgb="FFE6E8FF"/>
        <bgColor rgb="FFE6E8FF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838AFF"/>
        <bgColor rgb="FF838AFF"/>
      </patternFill>
    </fill>
    <fill>
      <patternFill patternType="solid">
        <fgColor rgb="FF83E9AF"/>
        <bgColor rgb="FF83E9AF"/>
      </patternFill>
    </fill>
  </fills>
  <borders count="21">
    <border/>
    <border>
      <left style="medium">
        <color rgb="FF666666"/>
      </left>
      <right style="thin">
        <color rgb="FF666666"/>
      </right>
      <top style="medium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medium">
        <color rgb="FF666666"/>
      </top>
      <bottom style="thin">
        <color rgb="FF666666"/>
      </bottom>
    </border>
    <border>
      <left style="thin">
        <color rgb="FF666666"/>
      </left>
      <right style="medium">
        <color rgb="FF666666"/>
      </right>
      <top style="medium">
        <color rgb="FF666666"/>
      </top>
      <bottom style="thin">
        <color rgb="FF666666"/>
      </bottom>
    </border>
    <border>
      <left style="medium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medium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medium">
        <color rgb="FF666666"/>
      </right>
      <top style="thin">
        <color rgb="FF666666"/>
      </top>
      <bottom style="thin">
        <color rgb="FF666666"/>
      </bottom>
    </border>
    <border>
      <left style="medium">
        <color rgb="FF666666"/>
      </left>
      <right style="thin">
        <color rgb="FF666666"/>
      </right>
      <top style="thin">
        <color rgb="FF666666"/>
      </top>
      <bottom style="medium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medium">
        <color rgb="FF666666"/>
      </bottom>
    </border>
    <border>
      <left style="thin">
        <color rgb="FF666666"/>
      </left>
      <right style="medium">
        <color rgb="FF666666"/>
      </right>
      <top style="thin">
        <color rgb="FF666666"/>
      </top>
      <bottom style="medium">
        <color rgb="FF666666"/>
      </bottom>
    </border>
    <border>
      <left style="medium">
        <color rgb="FF666666"/>
      </left>
      <top style="medium">
        <color rgb="FF666666"/>
      </top>
      <bottom style="medium">
        <color rgb="FF666666"/>
      </bottom>
    </border>
    <border>
      <top style="medium">
        <color rgb="FF666666"/>
      </top>
      <bottom style="medium">
        <color rgb="FF666666"/>
      </bottom>
    </border>
    <border>
      <right style="medium">
        <color rgb="FF666666"/>
      </right>
      <top style="medium">
        <color rgb="FF666666"/>
      </top>
      <bottom style="medium">
        <color rgb="FF666666"/>
      </bottom>
    </border>
    <border>
      <left/>
      <right/>
    </border>
    <border>
      <left style="medium">
        <color rgb="FF666666"/>
      </left>
      <right/>
      <top style="medium">
        <color rgb="FF666666"/>
      </top>
      <bottom style="medium">
        <color rgb="FF666666"/>
      </bottom>
    </border>
    <border>
      <left/>
      <right/>
      <top style="medium">
        <color rgb="FF666666"/>
      </top>
      <bottom style="medium">
        <color rgb="FF666666"/>
      </bottom>
    </border>
    <border>
      <left/>
      <right style="medium">
        <color rgb="FF666666"/>
      </right>
      <top style="medium">
        <color rgb="FF666666"/>
      </top>
      <bottom style="medium">
        <color rgb="FF666666"/>
      </bottom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17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2" fillId="3" fontId="4" numFmtId="17" xfId="0" applyAlignment="1" applyBorder="1" applyFill="1" applyFont="1" applyNumberFormat="1">
      <alignment horizontal="center" vertical="center"/>
    </xf>
    <xf borderId="2" fillId="4" fontId="4" numFmtId="0" xfId="0" applyAlignment="1" applyBorder="1" applyFill="1" applyFont="1">
      <alignment horizontal="center" shrinkToFit="0" vertical="center" wrapText="1"/>
    </xf>
    <xf borderId="3" fillId="5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4" fillId="5" fontId="2" numFmtId="0" xfId="0" applyAlignment="1" applyBorder="1" applyFont="1">
      <alignment vertical="center"/>
    </xf>
    <xf borderId="5" fillId="5" fontId="3" numFmtId="0" xfId="0" applyBorder="1" applyFont="1"/>
    <xf borderId="6" fillId="0" fontId="6" numFmtId="0" xfId="0" applyBorder="1" applyFont="1"/>
    <xf borderId="7" fillId="0" fontId="6" numFmtId="0" xfId="0" applyBorder="1" applyFont="1"/>
    <xf borderId="0" fillId="0" fontId="7" numFmtId="0" xfId="0" applyFont="1"/>
    <xf borderId="4" fillId="2" fontId="8" numFmtId="0" xfId="0" applyBorder="1" applyFont="1"/>
    <xf borderId="5" fillId="4" fontId="9" numFmtId="164" xfId="0" applyBorder="1" applyFont="1" applyNumberFormat="1"/>
    <xf borderId="0" fillId="0" fontId="10" numFmtId="0" xfId="0" applyFont="1"/>
    <xf borderId="4" fillId="6" fontId="8" numFmtId="0" xfId="0" applyBorder="1" applyFill="1" applyFont="1"/>
    <xf borderId="8" fillId="7" fontId="9" numFmtId="165" xfId="0" applyBorder="1" applyFill="1" applyFont="1" applyNumberFormat="1"/>
    <xf borderId="9" fillId="7" fontId="9" numFmtId="165" xfId="0" applyBorder="1" applyFont="1" applyNumberFormat="1"/>
    <xf borderId="5" fillId="4" fontId="9" numFmtId="165" xfId="0" applyBorder="1" applyFont="1" applyNumberFormat="1"/>
    <xf borderId="0" fillId="0" fontId="11" numFmtId="0" xfId="0" applyFont="1"/>
    <xf borderId="8" fillId="7" fontId="12" numFmtId="165" xfId="0" applyBorder="1" applyFont="1" applyNumberFormat="1"/>
    <xf borderId="9" fillId="7" fontId="12" numFmtId="165" xfId="0" applyBorder="1" applyFont="1" applyNumberFormat="1"/>
    <xf borderId="0" fillId="0" fontId="13" numFmtId="0" xfId="0" applyFont="1"/>
    <xf borderId="10" fillId="8" fontId="2" numFmtId="0" xfId="0" applyBorder="1" applyFill="1" applyFont="1"/>
    <xf borderId="11" fillId="8" fontId="2" numFmtId="165" xfId="0" applyBorder="1" applyFont="1" applyNumberFormat="1"/>
    <xf borderId="12" fillId="8" fontId="2" numFmtId="165" xfId="0" applyBorder="1" applyFont="1" applyNumberFormat="1"/>
    <xf borderId="0" fillId="0" fontId="14" numFmtId="0" xfId="0" applyFont="1"/>
    <xf borderId="0" fillId="0" fontId="15" numFmtId="0" xfId="0" applyFont="1"/>
    <xf borderId="0" fillId="0" fontId="8" numFmtId="165" xfId="0" applyFont="1" applyNumberFormat="1"/>
    <xf borderId="0" fillId="0" fontId="1" numFmtId="165" xfId="0" applyFont="1" applyNumberFormat="1"/>
    <xf borderId="0" fillId="0" fontId="16" numFmtId="0" xfId="0" applyFont="1"/>
    <xf borderId="13" fillId="2" fontId="1" numFmtId="0" xfId="0" applyBorder="1" applyFont="1"/>
    <xf borderId="14" fillId="2" fontId="1" numFmtId="165" xfId="0" applyBorder="1" applyFont="1" applyNumberFormat="1"/>
    <xf borderId="14" fillId="2" fontId="2" numFmtId="165" xfId="0" applyBorder="1" applyFont="1" applyNumberFormat="1"/>
    <xf borderId="15" fillId="2" fontId="2" numFmtId="165" xfId="0" applyBorder="1" applyFont="1" applyNumberFormat="1"/>
    <xf borderId="16" fillId="9" fontId="8" numFmtId="165" xfId="0" applyBorder="1" applyFill="1" applyFont="1" applyNumberFormat="1"/>
    <xf borderId="0" fillId="0" fontId="17" numFmtId="0" xfId="0" applyFont="1"/>
    <xf borderId="17" fillId="10" fontId="2" numFmtId="0" xfId="0" applyBorder="1" applyFill="1" applyFont="1"/>
    <xf borderId="18" fillId="10" fontId="2" numFmtId="165" xfId="0" applyBorder="1" applyFont="1" applyNumberFormat="1"/>
    <xf borderId="19" fillId="10" fontId="2" numFmtId="165" xfId="0" applyBorder="1" applyFont="1" applyNumberFormat="1"/>
    <xf borderId="0" fillId="0" fontId="1" numFmtId="0" xfId="0" applyFont="1"/>
    <xf borderId="17" fillId="11" fontId="1" numFmtId="0" xfId="0" applyBorder="1" applyFill="1" applyFont="1"/>
    <xf borderId="18" fillId="11" fontId="1" numFmtId="165" xfId="0" applyBorder="1" applyFont="1" applyNumberFormat="1"/>
    <xf borderId="18" fillId="11" fontId="1" numFmtId="0" xfId="0" applyBorder="1" applyFont="1"/>
    <xf borderId="19" fillId="11" fontId="1" numFmtId="165" xfId="0" applyBorder="1" applyFont="1" applyNumberFormat="1"/>
    <xf borderId="0" fillId="0" fontId="18" numFmtId="0" xfId="0" applyFont="1"/>
    <xf borderId="20" fillId="7" fontId="8" numFmtId="0" xfId="0" applyBorder="1" applyFont="1"/>
    <xf borderId="0" fillId="0" fontId="8" numFmtId="0" xfId="0" applyFont="1"/>
    <xf borderId="0" fillId="0" fontId="19" numFmtId="0" xfId="0" applyFont="1"/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4.43"/>
    <col customWidth="1" min="2" max="2" width="44.29"/>
    <col customWidth="1" min="3" max="27" width="20.71"/>
  </cols>
  <sheetData>
    <row r="1" ht="18.75" customHeight="1">
      <c r="A1" s="1"/>
      <c r="B1" s="1"/>
      <c r="C1" s="2"/>
      <c r="D1" s="3"/>
      <c r="E1" s="2"/>
      <c r="F1" s="3"/>
      <c r="G1" s="2"/>
      <c r="H1" s="3"/>
      <c r="I1" s="2"/>
      <c r="J1" s="3"/>
      <c r="K1" s="2"/>
      <c r="L1" s="3"/>
      <c r="M1" s="2"/>
      <c r="N1" s="3"/>
      <c r="O1" s="2"/>
      <c r="P1" s="3"/>
      <c r="Q1" s="2"/>
      <c r="R1" s="3"/>
      <c r="S1" s="2"/>
      <c r="T1" s="3"/>
      <c r="U1" s="2"/>
      <c r="V1" s="3"/>
      <c r="W1" s="2"/>
      <c r="X1" s="3"/>
      <c r="Y1" s="2"/>
      <c r="Z1" s="3"/>
      <c r="AA1" s="4"/>
    </row>
    <row r="2" ht="47.25" customHeight="1">
      <c r="A2" s="1"/>
      <c r="B2" s="5" t="s">
        <v>0</v>
      </c>
      <c r="C2" s="6">
        <v>45809.0</v>
      </c>
      <c r="D2" s="7" t="s">
        <v>1</v>
      </c>
      <c r="E2" s="6">
        <v>45839.0</v>
      </c>
      <c r="F2" s="7" t="s">
        <v>1</v>
      </c>
      <c r="G2" s="6">
        <v>45870.0</v>
      </c>
      <c r="H2" s="7" t="s">
        <v>1</v>
      </c>
      <c r="I2" s="6">
        <v>45901.0</v>
      </c>
      <c r="J2" s="7" t="s">
        <v>1</v>
      </c>
      <c r="K2" s="6">
        <v>45931.0</v>
      </c>
      <c r="L2" s="7" t="s">
        <v>1</v>
      </c>
      <c r="M2" s="6">
        <v>45962.0</v>
      </c>
      <c r="N2" s="7" t="s">
        <v>1</v>
      </c>
      <c r="O2" s="6">
        <v>45992.0</v>
      </c>
      <c r="P2" s="7" t="s">
        <v>1</v>
      </c>
      <c r="Q2" s="6">
        <v>46023.0</v>
      </c>
      <c r="R2" s="7" t="s">
        <v>1</v>
      </c>
      <c r="S2" s="6">
        <v>46054.0</v>
      </c>
      <c r="T2" s="7" t="s">
        <v>1</v>
      </c>
      <c r="U2" s="6">
        <v>46082.0</v>
      </c>
      <c r="V2" s="7" t="s">
        <v>1</v>
      </c>
      <c r="W2" s="6">
        <v>46113.0</v>
      </c>
      <c r="X2" s="7" t="s">
        <v>1</v>
      </c>
      <c r="Y2" s="6">
        <v>46143.0</v>
      </c>
      <c r="Z2" s="7" t="s">
        <v>1</v>
      </c>
      <c r="AA2" s="8" t="s">
        <v>2</v>
      </c>
    </row>
    <row r="3" ht="16.5" customHeight="1">
      <c r="A3" s="9"/>
      <c r="B3" s="10" t="s">
        <v>3</v>
      </c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3"/>
    </row>
    <row r="4" ht="16.5" customHeight="1">
      <c r="A4" s="14"/>
      <c r="B4" s="15" t="s">
        <v>4</v>
      </c>
      <c r="C4" s="16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3"/>
    </row>
    <row r="5" ht="16.5" customHeight="1">
      <c r="A5" s="17"/>
      <c r="B5" s="18" t="s">
        <v>5</v>
      </c>
      <c r="C5" s="19">
        <v>100.0</v>
      </c>
      <c r="D5" s="19" t="s">
        <v>6</v>
      </c>
      <c r="E5" s="19">
        <v>90.0</v>
      </c>
      <c r="F5" s="19" t="s">
        <v>6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20">
        <f t="shared" ref="AA5:AA7" si="1">SUM(C5,E5,G5,I5,K5,M5,O5,Q5,S5,U5,W5,Y5)</f>
        <v>190</v>
      </c>
    </row>
    <row r="6" ht="16.5" customHeight="1">
      <c r="A6" s="17"/>
      <c r="B6" s="18" t="s">
        <v>7</v>
      </c>
      <c r="C6" s="19">
        <v>50.0</v>
      </c>
      <c r="D6" s="19" t="s">
        <v>8</v>
      </c>
      <c r="E6" s="19">
        <v>50.0</v>
      </c>
      <c r="F6" s="19" t="s">
        <v>8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20">
        <f t="shared" si="1"/>
        <v>100</v>
      </c>
    </row>
    <row r="7" ht="16.5" customHeight="1">
      <c r="A7" s="17"/>
      <c r="B7" s="18" t="s">
        <v>9</v>
      </c>
      <c r="C7" s="19">
        <v>30.0</v>
      </c>
      <c r="D7" s="19" t="s">
        <v>10</v>
      </c>
      <c r="E7" s="19">
        <v>25.0</v>
      </c>
      <c r="F7" s="19" t="s">
        <v>10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20">
        <f t="shared" si="1"/>
        <v>55</v>
      </c>
    </row>
    <row r="8" ht="16.5" customHeight="1">
      <c r="A8" s="14"/>
      <c r="B8" s="15" t="s">
        <v>11</v>
      </c>
      <c r="C8" s="2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</row>
    <row r="9" ht="16.5" customHeight="1">
      <c r="A9" s="17"/>
      <c r="B9" s="18" t="s">
        <v>12</v>
      </c>
      <c r="C9" s="19">
        <v>100.0</v>
      </c>
      <c r="D9" s="19" t="s">
        <v>6</v>
      </c>
      <c r="E9" s="19">
        <v>90.0</v>
      </c>
      <c r="F9" s="19" t="s">
        <v>6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20">
        <f t="shared" ref="AA9:AA11" si="2">SUM(C9,E9,G9,I9,K9,M9,O9,Q9,S9,U9,W9,Y9)</f>
        <v>190</v>
      </c>
    </row>
    <row r="10" ht="16.5" customHeight="1">
      <c r="A10" s="17"/>
      <c r="B10" s="18" t="s">
        <v>13</v>
      </c>
      <c r="C10" s="19">
        <v>50.0</v>
      </c>
      <c r="D10" s="19" t="s">
        <v>8</v>
      </c>
      <c r="E10" s="19">
        <v>50.0</v>
      </c>
      <c r="F10" s="19" t="s">
        <v>8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20">
        <f t="shared" si="2"/>
        <v>100</v>
      </c>
    </row>
    <row r="11" ht="16.5" customHeight="1">
      <c r="A11" s="17"/>
      <c r="B11" s="18" t="s">
        <v>14</v>
      </c>
      <c r="C11" s="19">
        <v>30.0</v>
      </c>
      <c r="D11" s="19" t="s">
        <v>10</v>
      </c>
      <c r="E11" s="19">
        <v>25.0</v>
      </c>
      <c r="F11" s="19" t="s">
        <v>10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20">
        <f t="shared" si="2"/>
        <v>55</v>
      </c>
    </row>
    <row r="12" ht="16.5" customHeight="1">
      <c r="A12" s="14"/>
      <c r="B12" s="15" t="s">
        <v>15</v>
      </c>
      <c r="C12" s="2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</row>
    <row r="13" ht="16.5" customHeight="1">
      <c r="A13" s="17"/>
      <c r="B13" s="18" t="s">
        <v>16</v>
      </c>
      <c r="C13" s="19">
        <v>100.0</v>
      </c>
      <c r="D13" s="19" t="s">
        <v>6</v>
      </c>
      <c r="E13" s="19">
        <v>90.0</v>
      </c>
      <c r="F13" s="19" t="s">
        <v>6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20">
        <f t="shared" ref="AA13:AA15" si="3">SUM(C13,E13,G13,I13,K13,M13,O13,Q13,S13,U13,W13,Y13)</f>
        <v>190</v>
      </c>
    </row>
    <row r="14" ht="16.5" customHeight="1">
      <c r="A14" s="17"/>
      <c r="B14" s="18" t="s">
        <v>17</v>
      </c>
      <c r="C14" s="19">
        <v>50.0</v>
      </c>
      <c r="D14" s="19" t="s">
        <v>8</v>
      </c>
      <c r="E14" s="19">
        <v>50.0</v>
      </c>
      <c r="F14" s="19" t="s">
        <v>8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20">
        <f t="shared" si="3"/>
        <v>100</v>
      </c>
    </row>
    <row r="15" ht="16.5" customHeight="1">
      <c r="A15" s="17"/>
      <c r="B15" s="18" t="s">
        <v>18</v>
      </c>
      <c r="C15" s="19">
        <v>30.0</v>
      </c>
      <c r="D15" s="19" t="s">
        <v>10</v>
      </c>
      <c r="E15" s="19">
        <v>25.0</v>
      </c>
      <c r="F15" s="19" t="s">
        <v>10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20">
        <f t="shared" si="3"/>
        <v>55</v>
      </c>
    </row>
    <row r="16" ht="16.5" customHeight="1">
      <c r="A16" s="14"/>
      <c r="B16" s="15" t="s">
        <v>19</v>
      </c>
      <c r="C16" s="2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</row>
    <row r="17" ht="16.5" customHeight="1">
      <c r="A17" s="17"/>
      <c r="B17" s="18" t="s">
        <v>20</v>
      </c>
      <c r="C17" s="19">
        <v>100.0</v>
      </c>
      <c r="D17" s="19" t="s">
        <v>6</v>
      </c>
      <c r="E17" s="19">
        <v>90.0</v>
      </c>
      <c r="F17" s="19" t="s">
        <v>6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20">
        <f t="shared" ref="AA17:AA19" si="4">SUM(C17,E17,G17,I17,K17,M17,O17,Q17,S17,U17,W17,Y17)</f>
        <v>190</v>
      </c>
    </row>
    <row r="18" ht="16.5" customHeight="1">
      <c r="A18" s="17"/>
      <c r="B18" s="18" t="s">
        <v>21</v>
      </c>
      <c r="C18" s="19">
        <v>50.0</v>
      </c>
      <c r="D18" s="19" t="s">
        <v>8</v>
      </c>
      <c r="E18" s="19">
        <v>50.0</v>
      </c>
      <c r="F18" s="19" t="s">
        <v>8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20">
        <f t="shared" si="4"/>
        <v>100</v>
      </c>
    </row>
    <row r="19" ht="16.5" customHeight="1">
      <c r="A19" s="17"/>
      <c r="B19" s="18" t="s">
        <v>22</v>
      </c>
      <c r="C19" s="19">
        <v>30.0</v>
      </c>
      <c r="D19" s="19" t="s">
        <v>10</v>
      </c>
      <c r="E19" s="19">
        <v>25.0</v>
      </c>
      <c r="F19" s="19" t="s">
        <v>10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20">
        <f t="shared" si="4"/>
        <v>55</v>
      </c>
    </row>
    <row r="20" ht="16.5" customHeight="1">
      <c r="A20" s="14"/>
      <c r="B20" s="15" t="s">
        <v>23</v>
      </c>
      <c r="C20" s="21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</row>
    <row r="21" ht="16.5" customHeight="1">
      <c r="A21" s="17"/>
      <c r="B21" s="18" t="s">
        <v>24</v>
      </c>
      <c r="C21" s="19">
        <v>100.0</v>
      </c>
      <c r="D21" s="19" t="s">
        <v>6</v>
      </c>
      <c r="E21" s="19">
        <v>90.0</v>
      </c>
      <c r="F21" s="19" t="s">
        <v>6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20">
        <f t="shared" ref="AA21:AA23" si="5">SUM(C21,E21,G21,I21,K21,M21,O21,Q21,S21,U21,W21,Y21)</f>
        <v>190</v>
      </c>
    </row>
    <row r="22" ht="16.5" customHeight="1">
      <c r="A22" s="17"/>
      <c r="B22" s="18" t="s">
        <v>25</v>
      </c>
      <c r="C22" s="19">
        <v>50.0</v>
      </c>
      <c r="D22" s="19" t="s">
        <v>8</v>
      </c>
      <c r="E22" s="19">
        <v>50.0</v>
      </c>
      <c r="F22" s="19" t="s">
        <v>8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20">
        <f t="shared" si="5"/>
        <v>100</v>
      </c>
    </row>
    <row r="23" ht="16.5" customHeight="1">
      <c r="A23" s="17"/>
      <c r="B23" s="18" t="s">
        <v>26</v>
      </c>
      <c r="C23" s="19">
        <v>30.0</v>
      </c>
      <c r="D23" s="19" t="s">
        <v>10</v>
      </c>
      <c r="E23" s="19">
        <v>25.0</v>
      </c>
      <c r="F23" s="19" t="s">
        <v>10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20">
        <f t="shared" si="5"/>
        <v>55</v>
      </c>
    </row>
    <row r="24" ht="16.5" customHeight="1">
      <c r="A24" s="14"/>
      <c r="B24" s="15" t="s">
        <v>27</v>
      </c>
      <c r="C24" s="2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</row>
    <row r="25" ht="16.5" customHeight="1">
      <c r="A25" s="17"/>
      <c r="B25" s="18" t="s">
        <v>28</v>
      </c>
      <c r="C25" s="19">
        <v>100.0</v>
      </c>
      <c r="D25" s="19" t="s">
        <v>6</v>
      </c>
      <c r="E25" s="19">
        <v>90.0</v>
      </c>
      <c r="F25" s="19" t="s">
        <v>6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20">
        <f t="shared" ref="AA25:AA27" si="6">SUM(C25,E25,G25,I25,K25,M25,O25,Q25,S25,U25,W25,Y25)</f>
        <v>190</v>
      </c>
    </row>
    <row r="26" ht="16.5" customHeight="1">
      <c r="A26" s="17"/>
      <c r="B26" s="18" t="s">
        <v>29</v>
      </c>
      <c r="C26" s="19">
        <v>50.0</v>
      </c>
      <c r="D26" s="19" t="s">
        <v>8</v>
      </c>
      <c r="E26" s="19">
        <v>50.0</v>
      </c>
      <c r="F26" s="19" t="s">
        <v>8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20">
        <f t="shared" si="6"/>
        <v>100</v>
      </c>
    </row>
    <row r="27" ht="16.5" customHeight="1">
      <c r="A27" s="17"/>
      <c r="B27" s="18" t="s">
        <v>30</v>
      </c>
      <c r="C27" s="19">
        <v>30.0</v>
      </c>
      <c r="D27" s="19" t="s">
        <v>10</v>
      </c>
      <c r="E27" s="19">
        <v>25.0</v>
      </c>
      <c r="F27" s="19" t="s">
        <v>10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20">
        <f t="shared" si="6"/>
        <v>55</v>
      </c>
    </row>
    <row r="28" ht="16.5" customHeight="1">
      <c r="A28" s="14"/>
      <c r="B28" s="15" t="s">
        <v>31</v>
      </c>
      <c r="C28" s="2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</row>
    <row r="29" ht="16.5" customHeight="1">
      <c r="A29" s="17"/>
      <c r="B29" s="18" t="s">
        <v>32</v>
      </c>
      <c r="C29" s="19">
        <v>500.0</v>
      </c>
      <c r="D29" s="19" t="s">
        <v>6</v>
      </c>
      <c r="E29" s="19">
        <v>90.0</v>
      </c>
      <c r="F29" s="19" t="s">
        <v>6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20">
        <f t="shared" ref="AA29:AA31" si="7">SUM(C29,E29,G29,I29,K29,M29,O29,Q29,S29,U29,W29,Y29)</f>
        <v>590</v>
      </c>
    </row>
    <row r="30" ht="16.5" customHeight="1">
      <c r="A30" s="17"/>
      <c r="B30" s="18" t="s">
        <v>33</v>
      </c>
      <c r="C30" s="19">
        <v>50.0</v>
      </c>
      <c r="D30" s="19" t="s">
        <v>8</v>
      </c>
      <c r="E30" s="19">
        <v>50.0</v>
      </c>
      <c r="F30" s="19" t="s">
        <v>8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20">
        <f t="shared" si="7"/>
        <v>100</v>
      </c>
    </row>
    <row r="31" ht="16.5" customHeight="1">
      <c r="A31" s="17"/>
      <c r="B31" s="18" t="s">
        <v>34</v>
      </c>
      <c r="C31" s="19">
        <v>30.0</v>
      </c>
      <c r="D31" s="19" t="s">
        <v>10</v>
      </c>
      <c r="E31" s="19">
        <v>25.0</v>
      </c>
      <c r="F31" s="19" t="s">
        <v>10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20">
        <f t="shared" si="7"/>
        <v>55</v>
      </c>
    </row>
    <row r="32" ht="16.5" customHeight="1">
      <c r="A32" s="14"/>
      <c r="B32" s="15" t="s">
        <v>35</v>
      </c>
      <c r="C32" s="21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</row>
    <row r="33" ht="16.5" customHeight="1">
      <c r="A33" s="17"/>
      <c r="B33" s="18" t="s">
        <v>36</v>
      </c>
      <c r="C33" s="19">
        <v>100.0</v>
      </c>
      <c r="D33" s="19" t="s">
        <v>6</v>
      </c>
      <c r="E33" s="19">
        <v>90.0</v>
      </c>
      <c r="F33" s="19" t="s">
        <v>6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20">
        <f t="shared" ref="AA33:AA35" si="8">SUM(C33,E33,G33,I33,K33,M33,O33,Q33,S33,U33,W33,Y33)</f>
        <v>190</v>
      </c>
    </row>
    <row r="34" ht="16.5" customHeight="1">
      <c r="A34" s="17"/>
      <c r="B34" s="18" t="s">
        <v>37</v>
      </c>
      <c r="C34" s="19">
        <v>50.0</v>
      </c>
      <c r="D34" s="19" t="s">
        <v>8</v>
      </c>
      <c r="E34" s="19">
        <v>50.0</v>
      </c>
      <c r="F34" s="19" t="s">
        <v>8</v>
      </c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20">
        <f t="shared" si="8"/>
        <v>100</v>
      </c>
    </row>
    <row r="35" ht="16.5" customHeight="1">
      <c r="A35" s="17"/>
      <c r="B35" s="18" t="s">
        <v>38</v>
      </c>
      <c r="C35" s="19">
        <v>30.0</v>
      </c>
      <c r="D35" s="19" t="s">
        <v>10</v>
      </c>
      <c r="E35" s="19">
        <v>25.0</v>
      </c>
      <c r="F35" s="19" t="s">
        <v>10</v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20">
        <f t="shared" si="8"/>
        <v>55</v>
      </c>
    </row>
    <row r="36" ht="16.5" customHeight="1">
      <c r="A36" s="14"/>
      <c r="B36" s="15" t="s">
        <v>39</v>
      </c>
      <c r="C36" s="21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</row>
    <row r="37" ht="16.5" customHeight="1">
      <c r="A37" s="17"/>
      <c r="B37" s="18" t="s">
        <v>40</v>
      </c>
      <c r="C37" s="19">
        <v>100.0</v>
      </c>
      <c r="D37" s="19" t="s">
        <v>6</v>
      </c>
      <c r="E37" s="19">
        <v>90.0</v>
      </c>
      <c r="F37" s="19" t="s">
        <v>6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20">
        <f t="shared" ref="AA37:AA39" si="9">SUM(C37,E37,G37,I37,K37,M37,O37,Q37,S37,U37,W37,Y37)</f>
        <v>190</v>
      </c>
    </row>
    <row r="38" ht="16.5" customHeight="1">
      <c r="A38" s="17"/>
      <c r="B38" s="18" t="s">
        <v>41</v>
      </c>
      <c r="C38" s="19">
        <v>50.0</v>
      </c>
      <c r="D38" s="19" t="s">
        <v>42</v>
      </c>
      <c r="E38" s="19">
        <v>50.0</v>
      </c>
      <c r="F38" s="19" t="s">
        <v>8</v>
      </c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20">
        <f t="shared" si="9"/>
        <v>100</v>
      </c>
    </row>
    <row r="39" ht="16.5" customHeight="1">
      <c r="A39" s="17"/>
      <c r="B39" s="18" t="s">
        <v>41</v>
      </c>
      <c r="C39" s="19">
        <v>50.0</v>
      </c>
      <c r="D39" s="19" t="s">
        <v>42</v>
      </c>
      <c r="E39" s="19">
        <v>50.0</v>
      </c>
      <c r="F39" s="19" t="s">
        <v>8</v>
      </c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20">
        <f t="shared" si="9"/>
        <v>100</v>
      </c>
    </row>
    <row r="40" ht="16.5" customHeight="1">
      <c r="A40" s="17"/>
      <c r="B40" s="18" t="s">
        <v>43</v>
      </c>
      <c r="C40" s="19">
        <v>30.0</v>
      </c>
      <c r="D40" s="19" t="s">
        <v>10</v>
      </c>
      <c r="E40" s="19">
        <v>25.0</v>
      </c>
      <c r="F40" s="19" t="s">
        <v>10</v>
      </c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20"/>
    </row>
    <row r="41" ht="16.5" customHeight="1">
      <c r="A41" s="14"/>
      <c r="B41" s="15" t="s">
        <v>44</v>
      </c>
      <c r="C41" s="21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3"/>
    </row>
    <row r="42" ht="16.5" customHeight="1">
      <c r="A42" s="22"/>
      <c r="B42" s="18" t="s">
        <v>45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4"/>
    </row>
    <row r="43" ht="16.5" customHeight="1">
      <c r="A43" s="22"/>
      <c r="B43" s="18" t="s">
        <v>46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4"/>
    </row>
    <row r="44" ht="16.5" customHeight="1">
      <c r="A44" s="22"/>
      <c r="B44" s="18" t="s">
        <v>47</v>
      </c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4"/>
    </row>
    <row r="45" ht="16.5" customHeight="1">
      <c r="A45" s="25"/>
      <c r="B45" s="26" t="s">
        <v>48</v>
      </c>
      <c r="C45" s="27">
        <f>SUM(C4:C40)</f>
        <v>2070</v>
      </c>
      <c r="D45" s="27"/>
      <c r="E45" s="27">
        <f>SUM(E4:E40)</f>
        <v>1535</v>
      </c>
      <c r="F45" s="27"/>
      <c r="G45" s="27">
        <f>SUM(G4:G41)</f>
        <v>0</v>
      </c>
      <c r="H45" s="27"/>
      <c r="I45" s="27">
        <f>SUM(I4:I41)</f>
        <v>0</v>
      </c>
      <c r="J45" s="27"/>
      <c r="K45" s="27">
        <f>SUM(K4:K41)</f>
        <v>0</v>
      </c>
      <c r="L45" s="27"/>
      <c r="M45" s="27">
        <f>SUM(M4:M41)</f>
        <v>0</v>
      </c>
      <c r="N45" s="27"/>
      <c r="O45" s="27">
        <f>SUM(O4:O41)</f>
        <v>0</v>
      </c>
      <c r="P45" s="27"/>
      <c r="Q45" s="27">
        <f>SUM(Q4:Q41)</f>
        <v>0</v>
      </c>
      <c r="R45" s="27"/>
      <c r="S45" s="27">
        <f>SUM(S4:S41)</f>
        <v>0</v>
      </c>
      <c r="T45" s="27"/>
      <c r="U45" s="27">
        <f>SUM(U4:U41)</f>
        <v>0</v>
      </c>
      <c r="V45" s="27"/>
      <c r="W45" s="27">
        <f>SUM(W4:W41)</f>
        <v>0</v>
      </c>
      <c r="X45" s="27"/>
      <c r="Y45" s="27">
        <f>SUM(Y4:Y41)</f>
        <v>0</v>
      </c>
      <c r="Z45" s="27"/>
      <c r="AA45" s="28">
        <f>SUM(AA5,AA6,AA7,AA9,AA10,AA11,AA13,AA14,AA15,AA17,AA18,AA19,AA21,AA22,AA23,AA25,AA26,AA27,AA29,AA30,AA31,AA33,AA34,AA35,AA37,AA38,AA39,AA41,AA44)</f>
        <v>3550</v>
      </c>
    </row>
    <row r="46" ht="16.5" customHeight="1">
      <c r="A46" s="29"/>
      <c r="B46" s="30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2"/>
    </row>
    <row r="47" ht="16.5" customHeight="1">
      <c r="A47" s="33"/>
      <c r="B47" s="34" t="s">
        <v>49</v>
      </c>
      <c r="C47" s="35">
        <v>1000.0</v>
      </c>
      <c r="D47" s="35"/>
      <c r="E47" s="35" t="str">
        <f>'Pessoa Jurídica'!D13</f>
        <v>#REF!</v>
      </c>
      <c r="F47" s="35"/>
      <c r="G47" s="35" t="str">
        <f>'Pessoa Jurídica'!E13</f>
        <v>#REF!</v>
      </c>
      <c r="H47" s="35"/>
      <c r="I47" s="35" t="str">
        <f>'Pessoa Jurídica'!F13</f>
        <v>#REF!</v>
      </c>
      <c r="J47" s="35"/>
      <c r="K47" s="35" t="str">
        <f>'Pessoa Jurídica'!G13</f>
        <v>#REF!</v>
      </c>
      <c r="L47" s="35"/>
      <c r="M47" s="35" t="str">
        <f>'Pessoa Jurídica'!H13</f>
        <v>#REF!</v>
      </c>
      <c r="N47" s="35"/>
      <c r="O47" s="35" t="str">
        <f>'Pessoa Jurídica'!I13</f>
        <v>#REF!</v>
      </c>
      <c r="P47" s="35"/>
      <c r="Q47" s="35" t="str">
        <f>'Pessoa Jurídica'!J13</f>
        <v>#REF!</v>
      </c>
      <c r="R47" s="35"/>
      <c r="S47" s="35" t="str">
        <f>'Pessoa Jurídica'!K13</f>
        <v>#REF!</v>
      </c>
      <c r="T47" s="35"/>
      <c r="U47" s="35" t="str">
        <f>'Pessoa Jurídica'!L13</f>
        <v>#REF!</v>
      </c>
      <c r="V47" s="35"/>
      <c r="W47" s="35" t="str">
        <f>'Pessoa Jurídica'!M13</f>
        <v>#REF!</v>
      </c>
      <c r="X47" s="35"/>
      <c r="Y47" s="35" t="str">
        <f>'Pessoa Jurídica'!N13</f>
        <v>#REF!</v>
      </c>
      <c r="Z47" s="36"/>
      <c r="AA47" s="37"/>
    </row>
    <row r="48" ht="16.5" customHeight="1">
      <c r="A48" s="29"/>
      <c r="B48" s="30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8"/>
      <c r="AA48" s="32"/>
    </row>
    <row r="49" ht="16.5" customHeight="1">
      <c r="A49" s="39"/>
      <c r="B49" s="40" t="s">
        <v>50</v>
      </c>
      <c r="C49" s="41">
        <f>SUM(C47-C45)</f>
        <v>-1070</v>
      </c>
      <c r="D49" s="41"/>
      <c r="E49" s="41" t="str">
        <f>SUM(E47-E45)</f>
        <v>#REF!</v>
      </c>
      <c r="F49" s="41"/>
      <c r="G49" s="41" t="str">
        <f>SUM(G47-G45)</f>
        <v>#REF!</v>
      </c>
      <c r="H49" s="41"/>
      <c r="I49" s="41" t="str">
        <f>SUM(I47-I45)</f>
        <v>#REF!</v>
      </c>
      <c r="J49" s="41"/>
      <c r="K49" s="41" t="str">
        <f>SUM(K47-K45)</f>
        <v>#REF!</v>
      </c>
      <c r="L49" s="41"/>
      <c r="M49" s="41" t="str">
        <f>SUM(M47-M45)</f>
        <v>#REF!</v>
      </c>
      <c r="N49" s="41"/>
      <c r="O49" s="41" t="str">
        <f>SUM(O47-O45)</f>
        <v>#REF!</v>
      </c>
      <c r="P49" s="41"/>
      <c r="Q49" s="41" t="str">
        <f>SUM(Q47-Q45)</f>
        <v>#REF!</v>
      </c>
      <c r="R49" s="41"/>
      <c r="S49" s="41" t="str">
        <f>SUM(S47-S45)</f>
        <v>#REF!</v>
      </c>
      <c r="T49" s="41"/>
      <c r="U49" s="41" t="str">
        <f>SUM(U47-U45)</f>
        <v>#REF!</v>
      </c>
      <c r="V49" s="41"/>
      <c r="W49" s="41" t="str">
        <f>SUM(W47-W45)</f>
        <v>#REF!</v>
      </c>
      <c r="X49" s="41"/>
      <c r="Y49" s="41" t="str">
        <f>SUM(Y47-Y45)</f>
        <v>#REF!</v>
      </c>
      <c r="Z49" s="41"/>
      <c r="AA49" s="42"/>
    </row>
    <row r="50" ht="16.5" customHeight="1"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</row>
    <row r="51" ht="16.5" customHeight="1">
      <c r="A51" s="33"/>
      <c r="B51" s="44" t="s">
        <v>51</v>
      </c>
      <c r="C51" s="45">
        <f>SUM(C38:C39)</f>
        <v>100</v>
      </c>
      <c r="D51" s="46"/>
      <c r="E51" s="45">
        <f>SUM(E38:E39)</f>
        <v>100</v>
      </c>
      <c r="F51" s="46"/>
      <c r="G51" s="45">
        <f>SUM(G38:G39)</f>
        <v>0</v>
      </c>
      <c r="H51" s="46"/>
      <c r="I51" s="45">
        <f>SUM(I38:I39)</f>
        <v>0</v>
      </c>
      <c r="J51" s="46"/>
      <c r="K51" s="45">
        <f>SUM(K38:K39)</f>
        <v>0</v>
      </c>
      <c r="L51" s="46"/>
      <c r="M51" s="45">
        <f>SUM(M38:M39)</f>
        <v>0</v>
      </c>
      <c r="N51" s="46"/>
      <c r="O51" s="45">
        <f>SUM(O38:O39)</f>
        <v>0</v>
      </c>
      <c r="P51" s="46"/>
      <c r="Q51" s="45">
        <f>SUM(Q38:Q39)</f>
        <v>0</v>
      </c>
      <c r="R51" s="46"/>
      <c r="S51" s="45">
        <f>SUM(S38:S39)</f>
        <v>0</v>
      </c>
      <c r="T51" s="46"/>
      <c r="U51" s="45">
        <f>SUM(U38:U39)</f>
        <v>0</v>
      </c>
      <c r="V51" s="46"/>
      <c r="W51" s="45">
        <f>SUM(W38:W39)</f>
        <v>0</v>
      </c>
      <c r="X51" s="46"/>
      <c r="Y51" s="45">
        <f>SUM(Y38:Y39)</f>
        <v>0</v>
      </c>
      <c r="Z51" s="46"/>
      <c r="AA51" s="47">
        <f>SUM(C51:Z51)</f>
        <v>200</v>
      </c>
    </row>
    <row r="52" ht="16.5" customHeight="1"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</row>
    <row r="53" ht="16.5" customHeight="1">
      <c r="A53" s="48"/>
      <c r="B53" s="49" t="s">
        <v>52</v>
      </c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</row>
    <row r="54" ht="14.25" customHeight="1"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</row>
    <row r="55" ht="14.25" customHeight="1"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  <row r="56" ht="14.25" customHeight="1"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</row>
    <row r="57" ht="14.25" customHeight="1"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</row>
    <row r="58" ht="14.25" customHeight="1"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</row>
    <row r="59" ht="14.25" customHeight="1"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C28:AA28"/>
    <mergeCell ref="C32:AA32"/>
    <mergeCell ref="C36:AA36"/>
    <mergeCell ref="C41:AA41"/>
    <mergeCell ref="C3:AA3"/>
    <mergeCell ref="C4:AA4"/>
    <mergeCell ref="C8:AA8"/>
    <mergeCell ref="C12:AA12"/>
    <mergeCell ref="C16:AA16"/>
    <mergeCell ref="C20:AA20"/>
    <mergeCell ref="C24:AA24"/>
  </mergeCells>
  <printOptions/>
  <pageMargins bottom="0.75" footer="0.0" header="0.0" left="0.7" right="0.7" top="0.75"/>
  <pageSetup orientation="landscape"/>
  <drawing r:id="rId1"/>
</worksheet>
</file>